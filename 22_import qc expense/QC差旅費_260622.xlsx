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88. Claude\22_qc expense\"/>
    </mc:Choice>
  </mc:AlternateContent>
  <xr:revisionPtr revIDLastSave="0" documentId="13_ncr:1_{A5CE3081-CE07-4134-A317-2F9654BFD9DA}" xr6:coauthVersionLast="47" xr6:coauthVersionMax="47" xr10:uidLastSave="{00000000-0000-0000-0000-000000000000}"/>
  <bookViews>
    <workbookView xWindow="6015" yWindow="2985" windowWidth="21600" windowHeight="11190" tabRatio="775" activeTab="5" xr2:uid="{7CEB1AEA-7F0D-4874-BA85-8C5B2DBEA92B}"/>
  </bookViews>
  <sheets>
    <sheet name="1月明細" sheetId="1" r:id="rId1"/>
    <sheet name="2月明細" sheetId="2" r:id="rId2"/>
    <sheet name="3月明細" sheetId="3" r:id="rId3"/>
    <sheet name="4月明細" sheetId="4" r:id="rId4"/>
    <sheet name="5月明細" sheetId="5" r:id="rId5"/>
    <sheet name="6月明細" sheetId="6" r:id="rId6"/>
    <sheet name="7月明細" sheetId="7" r:id="rId7"/>
    <sheet name="8月明細" sheetId="8" r:id="rId8"/>
    <sheet name="9月明細" sheetId="9" r:id="rId9"/>
    <sheet name="10月明細" sheetId="10" r:id="rId10"/>
    <sheet name="11月明細" sheetId="11" r:id="rId11"/>
    <sheet name="12月明細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9" i="6" l="1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5"/>
  <c r="L7" i="5"/>
  <c r="L6" i="5"/>
  <c r="L5" i="5"/>
  <c r="L4" i="5"/>
  <c r="L3" i="5"/>
  <c r="L2" i="5"/>
  <c r="L8" i="6"/>
  <c r="L7" i="6"/>
  <c r="L6" i="6"/>
  <c r="L5" i="6"/>
  <c r="L4" i="6"/>
  <c r="L3" i="6"/>
  <c r="L2" i="6"/>
</calcChain>
</file>

<file path=xl/sharedStrings.xml><?xml version="1.0" encoding="utf-8"?>
<sst xmlns="http://schemas.openxmlformats.org/spreadsheetml/2006/main" count="278" uniqueCount="40">
  <si>
    <t>報銷日期</t>
    <phoneticPr fontId="1" type="noConversion"/>
  </si>
  <si>
    <t>出差日期</t>
    <phoneticPr fontId="1" type="noConversion"/>
  </si>
  <si>
    <t>QC</t>
    <phoneticPr fontId="1" type="noConversion"/>
  </si>
  <si>
    <t>出差地點</t>
    <phoneticPr fontId="1" type="noConversion"/>
  </si>
  <si>
    <t>飛機/船/火車/巴士</t>
    <phoneticPr fontId="1" type="noConversion"/>
  </si>
  <si>
    <t>住宿天數</t>
    <phoneticPr fontId="1" type="noConversion"/>
  </si>
  <si>
    <t>住宿費</t>
    <phoneticPr fontId="1" type="noConversion"/>
  </si>
  <si>
    <t>誤餐費</t>
    <phoneticPr fontId="1" type="noConversion"/>
  </si>
  <si>
    <t>誤餐天數</t>
    <phoneticPr fontId="1" type="noConversion"/>
  </si>
  <si>
    <t>其他費用摘要</t>
    <phoneticPr fontId="1" type="noConversion"/>
  </si>
  <si>
    <t>其他費用金額</t>
    <phoneticPr fontId="1" type="noConversion"/>
  </si>
  <si>
    <t>小計</t>
    <phoneticPr fontId="1" type="noConversion"/>
  </si>
  <si>
    <t>市內交通(出租車/公交/地鐵)</t>
    <phoneticPr fontId="1" type="noConversion"/>
  </si>
  <si>
    <t>一家+长途</t>
  </si>
  <si>
    <t>邓尧</t>
  </si>
  <si>
    <t>一家</t>
  </si>
  <si>
    <t>张建高</t>
  </si>
  <si>
    <t>苏州</t>
  </si>
  <si>
    <t>常州</t>
    <phoneticPr fontId="1" type="noConversion"/>
  </si>
  <si>
    <t>Leo Li 李勇</t>
  </si>
  <si>
    <t>1家</t>
  </si>
  <si>
    <t>常熟</t>
  </si>
  <si>
    <t>Yao Deng 鄧堯</t>
  </si>
  <si>
    <t>常熟/常州</t>
  </si>
  <si>
    <t>常州</t>
  </si>
  <si>
    <t>武進/常州</t>
  </si>
  <si>
    <t>蘇州/武進</t>
  </si>
  <si>
    <t>Qiang Chen 陳強</t>
  </si>
  <si>
    <t>蕭山</t>
  </si>
  <si>
    <t>Jun Yan 嚴軍</t>
  </si>
  <si>
    <t>1家加班費</t>
  </si>
  <si>
    <t>1家+水費</t>
  </si>
  <si>
    <t>Ajun He 何緒君</t>
  </si>
  <si>
    <t>二家</t>
  </si>
  <si>
    <t>太倉</t>
  </si>
  <si>
    <t>一家/水費</t>
    <phoneticPr fontId="1" type="noConversion"/>
  </si>
  <si>
    <t>張家港</t>
    <phoneticPr fontId="1" type="noConversion"/>
  </si>
  <si>
    <t>Junde Zhang 張俊德</t>
  </si>
  <si>
    <t>一家</t>
    <phoneticPr fontId="1" type="noConversion"/>
  </si>
  <si>
    <t>一家+水費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</si>
</sst>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80"/>
      <name val="微軟正黑體"/>
      <family val="2"/>
      <charset val="136"/>
    </font>
    <font>
      <sz val="12"/>
      <color theme="1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14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A15D-8A70-4851-BBA4-E7D5E7A5EED9}">
  <dimension ref="A1:M1"/>
  <sheetViews>
    <sheetView zoomScale="90" zoomScaleNormal="90" workbookViewId="0">
      <pane ySplit="1" topLeftCell="A2" activePane="bottomLeft" state="frozen"/>
      <selection pane="bottomLeft" activeCell="A3" sqref="A3"/>
    </sheetView>
  </sheetViews>
  <sheetFormatPr defaultRowHeight="20.100000000000001" customHeight="1" x14ac:dyDescent="0.25"/>
  <cols>
    <col min="1" max="2" width="10" style="1" bestFit="1" customWidth="1"/>
    <col min="3" max="3" width="5" style="1" bestFit="1" customWidth="1"/>
    <col min="4" max="4" width="20.125" style="1" bestFit="1" customWidth="1"/>
    <col min="5" max="5" width="28.875" style="1" bestFit="1" customWidth="1"/>
    <col min="6" max="6" width="10" style="1" bestFit="1" customWidth="1"/>
    <col min="7" max="7" width="8" style="1" bestFit="1" customWidth="1"/>
    <col min="8" max="8" width="10" style="1" bestFit="1" customWidth="1"/>
    <col min="9" max="9" width="8" style="1" bestFit="1" customWidth="1"/>
    <col min="10" max="11" width="14.625" style="1" bestFit="1" customWidth="1"/>
    <col min="12" max="12" width="5.875" style="1" bestFit="1" customWidth="1"/>
    <col min="13" max="13" width="10" style="1" bestFit="1" customWidth="1"/>
    <col min="14" max="16384" width="9" style="1"/>
  </cols>
  <sheetData>
    <row r="1" spans="1:13" s="5" customFormat="1" ht="30" customHeight="1" x14ac:dyDescent="0.25">
      <c r="A1" s="2" t="s">
        <v>0</v>
      </c>
      <c r="B1" s="2" t="s">
        <v>1</v>
      </c>
      <c r="C1" s="2" t="s">
        <v>2</v>
      </c>
      <c r="D1" s="4" t="s">
        <v>4</v>
      </c>
      <c r="E1" s="6" t="s">
        <v>12</v>
      </c>
      <c r="F1" s="3" t="s">
        <v>5</v>
      </c>
      <c r="G1" s="4" t="s">
        <v>6</v>
      </c>
      <c r="H1" s="3" t="s">
        <v>8</v>
      </c>
      <c r="I1" s="4" t="s">
        <v>7</v>
      </c>
      <c r="J1" s="3" t="s">
        <v>9</v>
      </c>
      <c r="K1" s="4" t="s">
        <v>10</v>
      </c>
      <c r="L1" s="4" t="s">
        <v>11</v>
      </c>
      <c r="M1" s="3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5F23-11BA-421B-A1D2-E4BC1CCD8916}">
  <dimension ref="A1:M1"/>
  <sheetViews>
    <sheetView zoomScale="90" zoomScaleNormal="90" workbookViewId="0">
      <pane ySplit="1" topLeftCell="A2" activePane="bottomLeft" state="frozen"/>
      <selection pane="bottomLeft" activeCell="A3" sqref="A3"/>
    </sheetView>
  </sheetViews>
  <sheetFormatPr defaultRowHeight="20.100000000000001" customHeight="1" x14ac:dyDescent="0.25"/>
  <cols>
    <col min="1" max="2" width="10" style="1" bestFit="1" customWidth="1"/>
    <col min="3" max="3" width="5" style="1" bestFit="1" customWidth="1"/>
    <col min="4" max="4" width="20.125" style="1" bestFit="1" customWidth="1"/>
    <col min="5" max="5" width="28.875" style="1" bestFit="1" customWidth="1"/>
    <col min="6" max="6" width="10" style="1" bestFit="1" customWidth="1"/>
    <col min="7" max="7" width="8" style="1" bestFit="1" customWidth="1"/>
    <col min="8" max="8" width="10" style="1" bestFit="1" customWidth="1"/>
    <col min="9" max="9" width="8" style="1" bestFit="1" customWidth="1"/>
    <col min="10" max="11" width="14.625" style="1" bestFit="1" customWidth="1"/>
    <col min="12" max="12" width="5.875" style="1" bestFit="1" customWidth="1"/>
    <col min="13" max="13" width="10" style="1" bestFit="1" customWidth="1"/>
    <col min="14" max="16384" width="9" style="1"/>
  </cols>
  <sheetData>
    <row r="1" spans="1:13" s="5" customFormat="1" ht="30" customHeight="1" x14ac:dyDescent="0.25">
      <c r="A1" s="2" t="s">
        <v>0</v>
      </c>
      <c r="B1" s="2" t="s">
        <v>1</v>
      </c>
      <c r="C1" s="2" t="s">
        <v>2</v>
      </c>
      <c r="D1" s="4" t="s">
        <v>4</v>
      </c>
      <c r="E1" s="6" t="s">
        <v>12</v>
      </c>
      <c r="F1" s="3" t="s">
        <v>5</v>
      </c>
      <c r="G1" s="4" t="s">
        <v>6</v>
      </c>
      <c r="H1" s="3" t="s">
        <v>8</v>
      </c>
      <c r="I1" s="4" t="s">
        <v>7</v>
      </c>
      <c r="J1" s="3" t="s">
        <v>9</v>
      </c>
      <c r="K1" s="4" t="s">
        <v>10</v>
      </c>
      <c r="L1" s="4" t="s">
        <v>11</v>
      </c>
      <c r="M1" s="3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FAF7-74D4-49A6-BF91-157E3812AA4C}">
  <dimension ref="A1:M1"/>
  <sheetViews>
    <sheetView zoomScale="90" zoomScaleNormal="90" workbookViewId="0">
      <pane ySplit="1" topLeftCell="A2" activePane="bottomLeft" state="frozen"/>
      <selection pane="bottomLeft" activeCell="A3" sqref="A3"/>
    </sheetView>
  </sheetViews>
  <sheetFormatPr defaultRowHeight="20.100000000000001" customHeight="1" x14ac:dyDescent="0.25"/>
  <cols>
    <col min="1" max="2" width="10" style="1" bestFit="1" customWidth="1"/>
    <col min="3" max="3" width="5" style="1" bestFit="1" customWidth="1"/>
    <col min="4" max="4" width="20.125" style="1" bestFit="1" customWidth="1"/>
    <col min="5" max="5" width="28.875" style="1" bestFit="1" customWidth="1"/>
    <col min="6" max="6" width="10" style="1" bestFit="1" customWidth="1"/>
    <col min="7" max="7" width="8" style="1" bestFit="1" customWidth="1"/>
    <col min="8" max="8" width="10" style="1" bestFit="1" customWidth="1"/>
    <col min="9" max="9" width="8" style="1" bestFit="1" customWidth="1"/>
    <col min="10" max="11" width="14.625" style="1" bestFit="1" customWidth="1"/>
    <col min="12" max="12" width="5.875" style="1" bestFit="1" customWidth="1"/>
    <col min="13" max="13" width="10" style="1" bestFit="1" customWidth="1"/>
    <col min="14" max="16384" width="9" style="1"/>
  </cols>
  <sheetData>
    <row r="1" spans="1:13" s="5" customFormat="1" ht="30" customHeight="1" x14ac:dyDescent="0.25">
      <c r="A1" s="2" t="s">
        <v>0</v>
      </c>
      <c r="B1" s="2" t="s">
        <v>1</v>
      </c>
      <c r="C1" s="2" t="s">
        <v>2</v>
      </c>
      <c r="D1" s="4" t="s">
        <v>4</v>
      </c>
      <c r="E1" s="6" t="s">
        <v>12</v>
      </c>
      <c r="F1" s="3" t="s">
        <v>5</v>
      </c>
      <c r="G1" s="4" t="s">
        <v>6</v>
      </c>
      <c r="H1" s="3" t="s">
        <v>8</v>
      </c>
      <c r="I1" s="4" t="s">
        <v>7</v>
      </c>
      <c r="J1" s="3" t="s">
        <v>9</v>
      </c>
      <c r="K1" s="4" t="s">
        <v>10</v>
      </c>
      <c r="L1" s="4" t="s">
        <v>11</v>
      </c>
      <c r="M1" s="3" t="s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7E35-C887-4D56-AE29-7A1908AF624F}">
  <dimension ref="A1:M2"/>
  <sheetViews>
    <sheetView zoomScale="90" zoomScaleNormal="90" workbookViewId="0">
      <pane ySplit="1" topLeftCell="A2" activePane="bottomLeft" state="frozen"/>
      <selection pane="bottomLeft" activeCell="I11" sqref="I11"/>
    </sheetView>
  </sheetViews>
  <sheetFormatPr defaultRowHeight="20.100000000000001" customHeight="1" x14ac:dyDescent="0.25"/>
  <cols>
    <col min="1" max="1" width="10.25" style="1" bestFit="1" customWidth="1"/>
    <col min="2" max="2" width="11.5" style="1" bestFit="1" customWidth="1"/>
    <col min="3" max="3" width="5.75" style="1" bestFit="1" customWidth="1"/>
    <col min="4" max="4" width="20.125" style="1" bestFit="1" customWidth="1"/>
    <col min="5" max="5" width="28.875" style="1" bestFit="1" customWidth="1"/>
    <col min="6" max="6" width="10" style="1" bestFit="1" customWidth="1"/>
    <col min="7" max="7" width="8" style="1" bestFit="1" customWidth="1"/>
    <col min="8" max="8" width="10" style="1" bestFit="1" customWidth="1"/>
    <col min="9" max="9" width="8" style="1" bestFit="1" customWidth="1"/>
    <col min="10" max="10" width="14.125" style="1" bestFit="1" customWidth="1"/>
    <col min="11" max="11" width="14.625" style="1" bestFit="1" customWidth="1"/>
    <col min="12" max="12" width="7.625" style="1" customWidth="1"/>
    <col min="13" max="13" width="9.75" style="1" bestFit="1" customWidth="1"/>
    <col min="14" max="16384" width="9" style="1"/>
  </cols>
  <sheetData>
    <row r="1" spans="1:13" s="5" customFormat="1" ht="30" customHeight="1" x14ac:dyDescent="0.25">
      <c r="A1" s="2" t="s">
        <v>0</v>
      </c>
      <c r="B1" s="2" t="s">
        <v>1</v>
      </c>
      <c r="C1" s="2" t="s">
        <v>2</v>
      </c>
      <c r="D1" s="4" t="s">
        <v>4</v>
      </c>
      <c r="E1" s="6" t="s">
        <v>12</v>
      </c>
      <c r="F1" s="3" t="s">
        <v>5</v>
      </c>
      <c r="G1" s="4" t="s">
        <v>6</v>
      </c>
      <c r="H1" s="3" t="s">
        <v>8</v>
      </c>
      <c r="I1" s="4" t="s">
        <v>7</v>
      </c>
      <c r="J1" s="3" t="s">
        <v>9</v>
      </c>
      <c r="K1" s="4" t="s">
        <v>10</v>
      </c>
      <c r="L1" s="4" t="s">
        <v>11</v>
      </c>
      <c r="M1" s="3" t="s">
        <v>3</v>
      </c>
    </row>
    <row r="2" spans="1:13" ht="20.100000000000001" customHeight="1" x14ac:dyDescent="0.25">
      <c r="A2" s="7"/>
      <c r="B2" s="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581E-2CBE-4793-864E-010AE353FD05}">
  <dimension ref="A1:M8"/>
  <sheetViews>
    <sheetView zoomScale="90" zoomScaleNormal="90" workbookViewId="0">
      <pane ySplit="1" topLeftCell="A2" activePane="bottomLeft" state="frozen"/>
      <selection pane="bottomLeft" activeCell="D10" sqref="D10"/>
    </sheetView>
  </sheetViews>
  <sheetFormatPr defaultRowHeight="20.100000000000001" customHeight="1" x14ac:dyDescent="0.25"/>
  <cols>
    <col min="1" max="2" width="11.5" style="1" bestFit="1" customWidth="1"/>
    <col min="3" max="3" width="16.125" style="1" bestFit="1" customWidth="1"/>
    <col min="4" max="4" width="19.25" style="1" bestFit="1" customWidth="1"/>
    <col min="5" max="5" width="28.875" style="1" bestFit="1" customWidth="1"/>
    <col min="6" max="6" width="10" style="1" bestFit="1" customWidth="1"/>
    <col min="7" max="7" width="8" style="1" bestFit="1" customWidth="1"/>
    <col min="8" max="8" width="10" style="1" bestFit="1" customWidth="1"/>
    <col min="9" max="9" width="8" style="1" bestFit="1" customWidth="1"/>
    <col min="10" max="11" width="14.625" style="1" bestFit="1" customWidth="1"/>
    <col min="12" max="12" width="5.875" style="1" bestFit="1" customWidth="1"/>
    <col min="13" max="13" width="10" style="1" bestFit="1" customWidth="1"/>
    <col min="14" max="16384" width="9" style="1"/>
  </cols>
  <sheetData>
    <row r="1" spans="1:13" s="5" customFormat="1" ht="30" customHeight="1" x14ac:dyDescent="0.25">
      <c r="A1" s="2" t="s">
        <v>0</v>
      </c>
      <c r="B1" s="2" t="s">
        <v>1</v>
      </c>
      <c r="C1" s="2" t="s">
        <v>2</v>
      </c>
      <c r="D1" s="4" t="s">
        <v>4</v>
      </c>
      <c r="E1" s="6" t="s">
        <v>12</v>
      </c>
      <c r="F1" s="3" t="s">
        <v>5</v>
      </c>
      <c r="G1" s="4" t="s">
        <v>6</v>
      </c>
      <c r="H1" s="3" t="s">
        <v>8</v>
      </c>
      <c r="I1" s="4" t="s">
        <v>7</v>
      </c>
      <c r="J1" s="3" t="s">
        <v>9</v>
      </c>
      <c r="K1" s="4" t="s">
        <v>10</v>
      </c>
      <c r="L1" s="4" t="s">
        <v>11</v>
      </c>
      <c r="M1" s="3" t="s">
        <v>3</v>
      </c>
    </row>
    <row r="2" spans="1:13" ht="20.100000000000001" customHeight="1" x14ac:dyDescent="0.25">
      <c r="A2" s="8">
        <v>46172</v>
      </c>
      <c r="B2" s="8">
        <v>46165</v>
      </c>
      <c r="C2" s="9" t="s">
        <v>22</v>
      </c>
      <c r="D2" s="10">
        <v>0</v>
      </c>
      <c r="E2" s="10">
        <v>0</v>
      </c>
      <c r="F2" s="10">
        <v>1</v>
      </c>
      <c r="G2" s="10">
        <v>160</v>
      </c>
      <c r="H2" s="10">
        <v>1</v>
      </c>
      <c r="I2" s="10">
        <v>30</v>
      </c>
      <c r="J2" s="9" t="s">
        <v>15</v>
      </c>
      <c r="K2" s="10">
        <v>30</v>
      </c>
      <c r="L2" s="10">
        <f t="shared" ref="L2:L8" si="0">D2+E2+G2+I2+K2</f>
        <v>220</v>
      </c>
      <c r="M2" s="9" t="s">
        <v>21</v>
      </c>
    </row>
    <row r="3" spans="1:13" ht="20.100000000000001" customHeight="1" x14ac:dyDescent="0.25">
      <c r="A3" s="8">
        <v>46172</v>
      </c>
      <c r="B3" s="8">
        <v>46166</v>
      </c>
      <c r="C3" s="9" t="s">
        <v>22</v>
      </c>
      <c r="D3" s="10">
        <v>41</v>
      </c>
      <c r="E3" s="10">
        <v>48</v>
      </c>
      <c r="F3" s="10">
        <v>1</v>
      </c>
      <c r="G3" s="10">
        <v>160</v>
      </c>
      <c r="H3" s="10">
        <v>1</v>
      </c>
      <c r="I3" s="10">
        <v>30</v>
      </c>
      <c r="J3" s="9" t="s">
        <v>15</v>
      </c>
      <c r="K3" s="10">
        <v>30</v>
      </c>
      <c r="L3" s="10">
        <f t="shared" si="0"/>
        <v>309</v>
      </c>
      <c r="M3" s="9" t="s">
        <v>23</v>
      </c>
    </row>
    <row r="4" spans="1:13" ht="20.100000000000001" customHeight="1" x14ac:dyDescent="0.25">
      <c r="A4" s="8">
        <v>46172</v>
      </c>
      <c r="B4" s="8">
        <v>46167</v>
      </c>
      <c r="C4" s="9" t="s">
        <v>22</v>
      </c>
      <c r="D4" s="10">
        <v>0</v>
      </c>
      <c r="E4" s="10">
        <v>0</v>
      </c>
      <c r="F4" s="10">
        <v>1</v>
      </c>
      <c r="G4" s="10">
        <v>160</v>
      </c>
      <c r="H4" s="10">
        <v>1</v>
      </c>
      <c r="I4" s="10">
        <v>30</v>
      </c>
      <c r="J4" s="9"/>
      <c r="K4" s="10">
        <v>0</v>
      </c>
      <c r="L4" s="10">
        <f t="shared" si="0"/>
        <v>190</v>
      </c>
      <c r="M4" s="9" t="s">
        <v>24</v>
      </c>
    </row>
    <row r="5" spans="1:13" ht="20.100000000000001" customHeight="1" x14ac:dyDescent="0.25">
      <c r="A5" s="8">
        <v>46172</v>
      </c>
      <c r="B5" s="8">
        <v>46168</v>
      </c>
      <c r="C5" s="9" t="s">
        <v>22</v>
      </c>
      <c r="D5" s="10">
        <v>33</v>
      </c>
      <c r="E5" s="10">
        <v>44</v>
      </c>
      <c r="F5" s="10">
        <v>1</v>
      </c>
      <c r="G5" s="10">
        <v>160</v>
      </c>
      <c r="H5" s="10">
        <v>1</v>
      </c>
      <c r="I5" s="10">
        <v>30</v>
      </c>
      <c r="J5" s="9" t="s">
        <v>15</v>
      </c>
      <c r="K5" s="10">
        <v>30</v>
      </c>
      <c r="L5" s="10">
        <f t="shared" si="0"/>
        <v>297</v>
      </c>
      <c r="M5" s="9" t="s">
        <v>25</v>
      </c>
    </row>
    <row r="6" spans="1:13" ht="20.100000000000001" customHeight="1" x14ac:dyDescent="0.25">
      <c r="A6" s="8">
        <v>46172</v>
      </c>
      <c r="B6" s="8">
        <v>46169</v>
      </c>
      <c r="C6" s="9" t="s">
        <v>22</v>
      </c>
      <c r="D6" s="10">
        <v>38</v>
      </c>
      <c r="E6" s="10">
        <v>40</v>
      </c>
      <c r="F6" s="10">
        <v>1</v>
      </c>
      <c r="G6" s="10">
        <v>160</v>
      </c>
      <c r="H6" s="10">
        <v>1</v>
      </c>
      <c r="I6" s="10">
        <v>30</v>
      </c>
      <c r="J6" s="9" t="s">
        <v>15</v>
      </c>
      <c r="K6" s="10">
        <v>30</v>
      </c>
      <c r="L6" s="10">
        <f t="shared" si="0"/>
        <v>298</v>
      </c>
      <c r="M6" s="9" t="s">
        <v>26</v>
      </c>
    </row>
    <row r="7" spans="1:13" ht="20.100000000000001" customHeight="1" x14ac:dyDescent="0.25">
      <c r="A7" s="8">
        <v>46172</v>
      </c>
      <c r="B7" s="8">
        <v>46170</v>
      </c>
      <c r="C7" s="9" t="s">
        <v>22</v>
      </c>
      <c r="D7" s="10">
        <v>0</v>
      </c>
      <c r="E7" s="10">
        <v>0</v>
      </c>
      <c r="F7" s="10">
        <v>1</v>
      </c>
      <c r="G7" s="10">
        <v>160</v>
      </c>
      <c r="H7" s="10">
        <v>1</v>
      </c>
      <c r="I7" s="10">
        <v>30</v>
      </c>
      <c r="J7" s="9" t="s">
        <v>15</v>
      </c>
      <c r="K7" s="10">
        <v>30</v>
      </c>
      <c r="L7" s="10">
        <f t="shared" si="0"/>
        <v>220</v>
      </c>
      <c r="M7" s="9" t="s">
        <v>24</v>
      </c>
    </row>
    <row r="8" spans="1:13" ht="20.100000000000001" customHeight="1" x14ac:dyDescent="0.25">
      <c r="A8" s="8">
        <v>46172</v>
      </c>
      <c r="B8" s="8">
        <v>46171</v>
      </c>
      <c r="C8" s="9" t="s">
        <v>22</v>
      </c>
      <c r="D8" s="10">
        <v>0</v>
      </c>
      <c r="E8" s="10">
        <v>0</v>
      </c>
      <c r="F8" s="10">
        <v>1</v>
      </c>
      <c r="G8" s="10">
        <v>160</v>
      </c>
      <c r="H8" s="10">
        <v>1</v>
      </c>
      <c r="I8" s="10">
        <v>30</v>
      </c>
      <c r="J8" s="9"/>
      <c r="K8" s="10">
        <v>0</v>
      </c>
      <c r="L8" s="10">
        <f t="shared" si="0"/>
        <v>190</v>
      </c>
      <c r="M8" s="9" t="s">
        <v>24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935F5-B5D0-4B82-AD32-3C6DFDB05D4B}">
  <dimension ref="A1:M39"/>
  <sheetViews>
    <sheetView tabSelected="1" topLeftCell="D1" zoomScale="90" zoomScaleNormal="90" workbookViewId="0">
      <pane ySplit="1" topLeftCell="A23" activePane="bottomLeft" state="frozen"/>
      <selection pane="bottomLeft" activeCell="G44" sqref="G44"/>
    </sheetView>
  </sheetViews>
  <sheetFormatPr defaultRowHeight="20.100000000000001" customHeight="1" x14ac:dyDescent="0.25"/>
  <cols>
    <col min="1" max="1" width="10.25" style="1" bestFit="1" customWidth="1"/>
    <col min="2" max="2" width="11.5" style="1" bestFit="1" customWidth="1"/>
    <col min="3" max="3" width="21.625" style="1" bestFit="1" customWidth="1"/>
    <col min="4" max="4" width="20.125" style="1" bestFit="1" customWidth="1"/>
    <col min="5" max="5" width="28.875" style="1" bestFit="1" customWidth="1"/>
    <col min="6" max="6" width="10" style="1" bestFit="1" customWidth="1"/>
    <col min="7" max="7" width="8" style="1" bestFit="1" customWidth="1"/>
    <col min="8" max="8" width="10" style="1" bestFit="1" customWidth="1"/>
    <col min="9" max="9" width="8" style="1" bestFit="1" customWidth="1"/>
    <col min="10" max="11" width="14.125" style="1" bestFit="1" customWidth="1"/>
    <col min="12" max="12" width="7.375" style="1" bestFit="1" customWidth="1"/>
    <col min="13" max="13" width="11.625" style="1" customWidth="1"/>
    <col min="14" max="16384" width="9" style="1"/>
  </cols>
  <sheetData>
    <row r="1" spans="1:13" s="5" customFormat="1" ht="30" customHeight="1" x14ac:dyDescent="0.25">
      <c r="A1" s="2" t="s">
        <v>0</v>
      </c>
      <c r="B1" s="2" t="s">
        <v>1</v>
      </c>
      <c r="C1" s="2" t="s">
        <v>2</v>
      </c>
      <c r="D1" s="4" t="s">
        <v>4</v>
      </c>
      <c r="E1" s="6" t="s">
        <v>12</v>
      </c>
      <c r="F1" s="3" t="s">
        <v>5</v>
      </c>
      <c r="G1" s="4" t="s">
        <v>6</v>
      </c>
      <c r="H1" s="3" t="s">
        <v>8</v>
      </c>
      <c r="I1" s="4" t="s">
        <v>7</v>
      </c>
      <c r="J1" s="3" t="s">
        <v>9</v>
      </c>
      <c r="K1" s="4" t="s">
        <v>10</v>
      </c>
      <c r="L1" s="4" t="s">
        <v>11</v>
      </c>
      <c r="M1" s="3" t="s">
        <v>3</v>
      </c>
    </row>
    <row r="2" spans="1:13" ht="20.100000000000001" customHeight="1" x14ac:dyDescent="0.25">
      <c r="A2" s="8">
        <v>46174</v>
      </c>
      <c r="B2" s="8">
        <v>46172</v>
      </c>
      <c r="C2" s="1" t="s">
        <v>14</v>
      </c>
      <c r="D2" s="1">
        <v>0</v>
      </c>
      <c r="E2" s="1">
        <v>0</v>
      </c>
      <c r="F2" s="1">
        <v>1</v>
      </c>
      <c r="G2" s="1">
        <v>160</v>
      </c>
      <c r="H2" s="1">
        <v>1</v>
      </c>
      <c r="I2" s="1">
        <v>30</v>
      </c>
      <c r="J2" s="1" t="s">
        <v>15</v>
      </c>
      <c r="K2" s="1">
        <v>30</v>
      </c>
      <c r="L2" s="1">
        <f t="shared" ref="L2:L8" si="0">D2+E2+G2+I2+K2</f>
        <v>220</v>
      </c>
      <c r="M2" s="1" t="s">
        <v>18</v>
      </c>
    </row>
    <row r="3" spans="1:13" ht="20.100000000000001" customHeight="1" x14ac:dyDescent="0.25">
      <c r="A3" s="8">
        <v>46174</v>
      </c>
      <c r="B3" s="8">
        <v>46173</v>
      </c>
      <c r="C3" s="1" t="s">
        <v>14</v>
      </c>
      <c r="D3" s="1">
        <v>0</v>
      </c>
      <c r="E3" s="1">
        <v>0</v>
      </c>
      <c r="F3" s="1">
        <v>1</v>
      </c>
      <c r="G3" s="1">
        <v>160</v>
      </c>
      <c r="H3" s="1">
        <v>1</v>
      </c>
      <c r="I3" s="1">
        <v>30</v>
      </c>
      <c r="K3" s="1">
        <v>0</v>
      </c>
      <c r="L3" s="1">
        <f t="shared" si="0"/>
        <v>190</v>
      </c>
      <c r="M3" s="1" t="s">
        <v>18</v>
      </c>
    </row>
    <row r="4" spans="1:13" ht="20.100000000000001" customHeight="1" x14ac:dyDescent="0.25">
      <c r="A4" s="8">
        <v>46174</v>
      </c>
      <c r="B4" s="8">
        <v>46171</v>
      </c>
      <c r="C4" s="1" t="s">
        <v>16</v>
      </c>
      <c r="D4" s="1">
        <v>34.9</v>
      </c>
      <c r="E4" s="1">
        <v>97</v>
      </c>
      <c r="F4" s="1">
        <v>1</v>
      </c>
      <c r="G4" s="1">
        <v>160</v>
      </c>
      <c r="H4" s="1">
        <v>1</v>
      </c>
      <c r="I4" s="1">
        <v>30</v>
      </c>
      <c r="J4" s="1" t="s">
        <v>13</v>
      </c>
      <c r="K4" s="1">
        <v>50</v>
      </c>
      <c r="L4" s="1">
        <f t="shared" si="0"/>
        <v>371.9</v>
      </c>
      <c r="M4" s="1" t="s">
        <v>17</v>
      </c>
    </row>
    <row r="5" spans="1:13" ht="20.100000000000001" customHeight="1" x14ac:dyDescent="0.25">
      <c r="A5" s="8">
        <v>46174</v>
      </c>
      <c r="B5" s="8">
        <v>46172</v>
      </c>
      <c r="C5" s="1" t="s">
        <v>16</v>
      </c>
      <c r="D5" s="1">
        <v>34.9</v>
      </c>
      <c r="E5" s="1">
        <v>42</v>
      </c>
      <c r="F5" s="1">
        <v>0</v>
      </c>
      <c r="G5" s="1">
        <v>0</v>
      </c>
      <c r="H5" s="1">
        <v>1</v>
      </c>
      <c r="I5" s="1">
        <v>30</v>
      </c>
      <c r="K5" s="1">
        <v>0</v>
      </c>
      <c r="L5" s="1">
        <f t="shared" si="0"/>
        <v>106.9</v>
      </c>
      <c r="M5" s="1" t="s">
        <v>17</v>
      </c>
    </row>
    <row r="6" spans="1:13" ht="20.100000000000001" customHeight="1" x14ac:dyDescent="0.25">
      <c r="A6" s="8">
        <v>46180</v>
      </c>
      <c r="B6" s="8">
        <v>46174</v>
      </c>
      <c r="C6" s="1" t="s">
        <v>19</v>
      </c>
      <c r="D6" s="1">
        <v>0</v>
      </c>
      <c r="E6" s="1">
        <v>30</v>
      </c>
      <c r="F6" s="1">
        <v>1</v>
      </c>
      <c r="G6" s="1">
        <v>160</v>
      </c>
      <c r="H6" s="1">
        <v>1</v>
      </c>
      <c r="I6" s="1">
        <v>30</v>
      </c>
      <c r="J6" s="1" t="s">
        <v>20</v>
      </c>
      <c r="K6" s="1">
        <v>30</v>
      </c>
      <c r="L6" s="1">
        <f t="shared" si="0"/>
        <v>250</v>
      </c>
      <c r="M6" s="1" t="s">
        <v>21</v>
      </c>
    </row>
    <row r="7" spans="1:13" ht="20.100000000000001" customHeight="1" x14ac:dyDescent="0.25">
      <c r="A7" s="8">
        <v>46180</v>
      </c>
      <c r="B7" s="8">
        <v>46175</v>
      </c>
      <c r="C7" s="1" t="s">
        <v>19</v>
      </c>
      <c r="D7" s="1">
        <v>0</v>
      </c>
      <c r="E7" s="1">
        <v>25</v>
      </c>
      <c r="F7" s="1">
        <v>1</v>
      </c>
      <c r="G7" s="1">
        <v>160</v>
      </c>
      <c r="H7" s="1">
        <v>1</v>
      </c>
      <c r="I7" s="1">
        <v>30</v>
      </c>
      <c r="J7" s="1" t="s">
        <v>20</v>
      </c>
      <c r="K7" s="1">
        <v>30</v>
      </c>
      <c r="L7" s="1">
        <f t="shared" si="0"/>
        <v>245</v>
      </c>
      <c r="M7" s="1" t="s">
        <v>21</v>
      </c>
    </row>
    <row r="8" spans="1:13" ht="20.100000000000001" customHeight="1" x14ac:dyDescent="0.25">
      <c r="A8" s="8">
        <v>46180</v>
      </c>
      <c r="B8" s="8">
        <v>46176</v>
      </c>
      <c r="C8" s="1" t="s">
        <v>19</v>
      </c>
      <c r="D8" s="1">
        <v>45</v>
      </c>
      <c r="E8" s="1">
        <v>0</v>
      </c>
      <c r="F8" s="1">
        <v>0</v>
      </c>
      <c r="G8" s="1">
        <v>0</v>
      </c>
      <c r="H8" s="1">
        <v>1</v>
      </c>
      <c r="I8" s="1">
        <v>30</v>
      </c>
      <c r="K8" s="1">
        <v>0</v>
      </c>
      <c r="L8" s="1">
        <f t="shared" si="0"/>
        <v>75</v>
      </c>
      <c r="M8" s="1" t="s">
        <v>21</v>
      </c>
    </row>
    <row r="9" spans="1:13" ht="20.100000000000001" customHeight="1" x14ac:dyDescent="0.25">
      <c r="A9" s="8">
        <v>46179</v>
      </c>
      <c r="B9" s="8">
        <v>46172</v>
      </c>
      <c r="C9" s="9" t="s">
        <v>27</v>
      </c>
      <c r="D9" s="10">
        <v>0</v>
      </c>
      <c r="E9" s="10">
        <v>23</v>
      </c>
      <c r="F9" s="10">
        <v>1</v>
      </c>
      <c r="G9" s="10">
        <v>160</v>
      </c>
      <c r="H9" s="10">
        <v>1</v>
      </c>
      <c r="I9" s="10">
        <v>30</v>
      </c>
      <c r="J9" s="9" t="s">
        <v>15</v>
      </c>
      <c r="K9" s="10">
        <v>30</v>
      </c>
      <c r="L9" s="10">
        <f t="shared" ref="L9:L32" si="1">D9+E9+G9+I9+K9</f>
        <v>243</v>
      </c>
      <c r="M9" s="9" t="s">
        <v>28</v>
      </c>
    </row>
    <row r="10" spans="1:13" ht="20.100000000000001" customHeight="1" x14ac:dyDescent="0.25">
      <c r="A10" s="8">
        <v>46179</v>
      </c>
      <c r="B10" s="8">
        <v>46173</v>
      </c>
      <c r="C10" s="9" t="s">
        <v>27</v>
      </c>
      <c r="D10" s="10">
        <v>0</v>
      </c>
      <c r="E10" s="10">
        <v>0</v>
      </c>
      <c r="F10" s="10">
        <v>1</v>
      </c>
      <c r="G10" s="10">
        <v>160</v>
      </c>
      <c r="H10" s="10">
        <v>1</v>
      </c>
      <c r="I10" s="10">
        <v>30</v>
      </c>
      <c r="J10" s="9" t="s">
        <v>15</v>
      </c>
      <c r="K10" s="10">
        <v>30</v>
      </c>
      <c r="L10" s="10">
        <f t="shared" si="1"/>
        <v>220</v>
      </c>
      <c r="M10" s="9" t="s">
        <v>28</v>
      </c>
    </row>
    <row r="11" spans="1:13" ht="20.100000000000001" customHeight="1" x14ac:dyDescent="0.25">
      <c r="A11" s="8">
        <v>46193</v>
      </c>
      <c r="B11" s="8">
        <v>46188</v>
      </c>
      <c r="C11" s="9" t="s">
        <v>22</v>
      </c>
      <c r="D11" s="10">
        <v>21</v>
      </c>
      <c r="E11" s="10">
        <v>53</v>
      </c>
      <c r="F11" s="10">
        <v>1</v>
      </c>
      <c r="G11" s="10">
        <v>160</v>
      </c>
      <c r="H11" s="10">
        <v>1</v>
      </c>
      <c r="I11" s="10">
        <v>30</v>
      </c>
      <c r="J11" s="9" t="s">
        <v>35</v>
      </c>
      <c r="K11" s="10">
        <v>35</v>
      </c>
      <c r="L11" s="10">
        <f t="shared" si="1"/>
        <v>299</v>
      </c>
      <c r="M11" s="9" t="s">
        <v>36</v>
      </c>
    </row>
    <row r="12" spans="1:13" ht="20.100000000000001" customHeight="1" x14ac:dyDescent="0.25">
      <c r="A12" s="8">
        <v>46193</v>
      </c>
      <c r="B12" s="8">
        <v>46189</v>
      </c>
      <c r="C12" s="9" t="s">
        <v>22</v>
      </c>
      <c r="D12" s="10">
        <v>0</v>
      </c>
      <c r="E12" s="10">
        <v>0</v>
      </c>
      <c r="F12" s="10">
        <v>1</v>
      </c>
      <c r="G12" s="10">
        <v>160</v>
      </c>
      <c r="H12" s="10">
        <v>1</v>
      </c>
      <c r="I12" s="10">
        <v>30</v>
      </c>
      <c r="J12" s="9" t="s">
        <v>35</v>
      </c>
      <c r="K12" s="10">
        <v>35</v>
      </c>
      <c r="L12" s="10">
        <f t="shared" si="1"/>
        <v>225</v>
      </c>
      <c r="M12" s="9" t="s">
        <v>36</v>
      </c>
    </row>
    <row r="13" spans="1:13" ht="20.100000000000001" customHeight="1" x14ac:dyDescent="0.25">
      <c r="A13" s="8">
        <v>46193</v>
      </c>
      <c r="B13" s="8">
        <v>46190</v>
      </c>
      <c r="C13" s="9" t="s">
        <v>22</v>
      </c>
      <c r="D13" s="10">
        <v>27</v>
      </c>
      <c r="E13" s="10">
        <v>49</v>
      </c>
      <c r="F13" s="10">
        <v>1</v>
      </c>
      <c r="G13" s="10">
        <v>160</v>
      </c>
      <c r="H13" s="10">
        <v>1</v>
      </c>
      <c r="I13" s="10">
        <v>30</v>
      </c>
      <c r="J13" s="9" t="s">
        <v>35</v>
      </c>
      <c r="K13" s="10">
        <v>35</v>
      </c>
      <c r="L13" s="10">
        <f t="shared" si="1"/>
        <v>301</v>
      </c>
      <c r="M13" s="9" t="s">
        <v>36</v>
      </c>
    </row>
    <row r="14" spans="1:13" ht="20.100000000000001" customHeight="1" x14ac:dyDescent="0.25">
      <c r="A14" s="8">
        <v>46193</v>
      </c>
      <c r="B14" s="8">
        <v>46191</v>
      </c>
      <c r="C14" s="9" t="s">
        <v>22</v>
      </c>
      <c r="D14" s="10">
        <v>0</v>
      </c>
      <c r="E14" s="10">
        <v>0</v>
      </c>
      <c r="F14" s="10">
        <v>1</v>
      </c>
      <c r="G14" s="10">
        <v>160</v>
      </c>
      <c r="H14" s="10">
        <v>1</v>
      </c>
      <c r="I14" s="10">
        <v>30</v>
      </c>
      <c r="J14" s="9" t="s">
        <v>35</v>
      </c>
      <c r="K14" s="10">
        <v>35</v>
      </c>
      <c r="L14" s="10">
        <f t="shared" si="1"/>
        <v>225</v>
      </c>
      <c r="M14" s="9" t="s">
        <v>36</v>
      </c>
    </row>
    <row r="15" spans="1:13" ht="20.100000000000001" customHeight="1" x14ac:dyDescent="0.25">
      <c r="A15" s="8">
        <v>46193</v>
      </c>
      <c r="B15" s="8">
        <v>46192</v>
      </c>
      <c r="C15" s="9" t="s">
        <v>22</v>
      </c>
      <c r="D15" s="10">
        <v>43</v>
      </c>
      <c r="E15" s="10">
        <v>51</v>
      </c>
      <c r="F15" s="10">
        <v>0</v>
      </c>
      <c r="G15" s="10">
        <v>0</v>
      </c>
      <c r="H15" s="10">
        <v>1</v>
      </c>
      <c r="I15" s="10">
        <v>30</v>
      </c>
      <c r="J15" s="9"/>
      <c r="K15" s="10">
        <v>0</v>
      </c>
      <c r="L15" s="10">
        <f t="shared" si="1"/>
        <v>124</v>
      </c>
      <c r="M15" s="9" t="s">
        <v>36</v>
      </c>
    </row>
    <row r="16" spans="1:13" ht="20.100000000000001" customHeight="1" x14ac:dyDescent="0.25">
      <c r="A16" s="8">
        <v>46194</v>
      </c>
      <c r="B16" s="8">
        <v>46188</v>
      </c>
      <c r="C16" s="9" t="s">
        <v>29</v>
      </c>
      <c r="D16" s="10">
        <v>0</v>
      </c>
      <c r="E16" s="10">
        <v>0</v>
      </c>
      <c r="F16" s="10">
        <v>1</v>
      </c>
      <c r="G16" s="10">
        <v>160</v>
      </c>
      <c r="H16" s="10">
        <v>1</v>
      </c>
      <c r="I16" s="10">
        <v>30</v>
      </c>
      <c r="J16" s="9" t="s">
        <v>30</v>
      </c>
      <c r="K16" s="10">
        <v>35</v>
      </c>
      <c r="L16" s="10">
        <f t="shared" si="1"/>
        <v>225</v>
      </c>
      <c r="M16" s="9" t="s">
        <v>24</v>
      </c>
    </row>
    <row r="17" spans="1:13" ht="20.100000000000001" customHeight="1" x14ac:dyDescent="0.25">
      <c r="A17" s="8">
        <v>46194</v>
      </c>
      <c r="B17" s="8">
        <v>46189</v>
      </c>
      <c r="C17" s="9" t="s">
        <v>29</v>
      </c>
      <c r="D17" s="10">
        <v>0</v>
      </c>
      <c r="E17" s="10">
        <v>0</v>
      </c>
      <c r="F17" s="10">
        <v>1</v>
      </c>
      <c r="G17" s="10">
        <v>160</v>
      </c>
      <c r="H17" s="10">
        <v>1</v>
      </c>
      <c r="I17" s="10">
        <v>30</v>
      </c>
      <c r="J17" s="9"/>
      <c r="K17" s="10">
        <v>0</v>
      </c>
      <c r="L17" s="10">
        <f t="shared" si="1"/>
        <v>190</v>
      </c>
      <c r="M17" s="9" t="s">
        <v>24</v>
      </c>
    </row>
    <row r="18" spans="1:13" ht="20.100000000000001" customHeight="1" x14ac:dyDescent="0.25">
      <c r="A18" s="8">
        <v>46194</v>
      </c>
      <c r="B18" s="8">
        <v>46190</v>
      </c>
      <c r="C18" s="9" t="s">
        <v>29</v>
      </c>
      <c r="D18" s="10">
        <v>136</v>
      </c>
      <c r="E18" s="10">
        <v>0</v>
      </c>
      <c r="F18" s="10">
        <v>1</v>
      </c>
      <c r="G18" s="10">
        <v>160</v>
      </c>
      <c r="H18" s="10">
        <v>1</v>
      </c>
      <c r="I18" s="10">
        <v>30</v>
      </c>
      <c r="J18" s="9" t="s">
        <v>31</v>
      </c>
      <c r="K18" s="10">
        <v>35</v>
      </c>
      <c r="L18" s="10">
        <f t="shared" si="1"/>
        <v>361</v>
      </c>
      <c r="M18" s="9" t="s">
        <v>24</v>
      </c>
    </row>
    <row r="19" spans="1:13" ht="20.100000000000001" customHeight="1" x14ac:dyDescent="0.25">
      <c r="A19" s="8">
        <v>46194</v>
      </c>
      <c r="B19" s="8">
        <v>46191</v>
      </c>
      <c r="C19" s="9" t="s">
        <v>29</v>
      </c>
      <c r="D19" s="10">
        <v>58</v>
      </c>
      <c r="E19" s="10">
        <v>0</v>
      </c>
      <c r="F19" s="10">
        <v>1</v>
      </c>
      <c r="G19" s="10">
        <v>160</v>
      </c>
      <c r="H19" s="10">
        <v>1</v>
      </c>
      <c r="I19" s="10">
        <v>30</v>
      </c>
      <c r="J19" s="9" t="s">
        <v>31</v>
      </c>
      <c r="K19" s="10">
        <v>35</v>
      </c>
      <c r="L19" s="10">
        <f t="shared" si="1"/>
        <v>283</v>
      </c>
      <c r="M19" s="9" t="s">
        <v>24</v>
      </c>
    </row>
    <row r="20" spans="1:13" ht="20.100000000000001" customHeight="1" x14ac:dyDescent="0.25">
      <c r="A20" s="8">
        <v>46194</v>
      </c>
      <c r="B20" s="8">
        <v>46192</v>
      </c>
      <c r="C20" s="9" t="s">
        <v>29</v>
      </c>
      <c r="D20" s="10">
        <v>120</v>
      </c>
      <c r="E20" s="10">
        <v>0</v>
      </c>
      <c r="F20" s="10">
        <v>0</v>
      </c>
      <c r="G20" s="10">
        <v>0</v>
      </c>
      <c r="H20" s="10">
        <v>1</v>
      </c>
      <c r="I20" s="10">
        <v>30</v>
      </c>
      <c r="J20" s="9"/>
      <c r="K20" s="10">
        <v>0</v>
      </c>
      <c r="L20" s="10">
        <f t="shared" si="1"/>
        <v>150</v>
      </c>
      <c r="M20" s="9" t="s">
        <v>24</v>
      </c>
    </row>
    <row r="21" spans="1:13" ht="20.100000000000001" customHeight="1" x14ac:dyDescent="0.25">
      <c r="A21" s="8">
        <v>46195</v>
      </c>
      <c r="B21" s="8">
        <v>46186</v>
      </c>
      <c r="C21" s="9" t="s">
        <v>32</v>
      </c>
      <c r="D21" s="10">
        <v>50</v>
      </c>
      <c r="E21" s="10">
        <v>0</v>
      </c>
      <c r="F21" s="10">
        <v>1</v>
      </c>
      <c r="G21" s="10">
        <v>160</v>
      </c>
      <c r="H21" s="10">
        <v>1</v>
      </c>
      <c r="I21" s="10">
        <v>30</v>
      </c>
      <c r="J21" s="9" t="s">
        <v>15</v>
      </c>
      <c r="K21" s="10">
        <v>30</v>
      </c>
      <c r="L21" s="10">
        <f t="shared" si="1"/>
        <v>270</v>
      </c>
      <c r="M21" s="9" t="s">
        <v>21</v>
      </c>
    </row>
    <row r="22" spans="1:13" ht="20.100000000000001" customHeight="1" x14ac:dyDescent="0.25">
      <c r="A22" s="8">
        <v>46195</v>
      </c>
      <c r="B22" s="8">
        <v>46187</v>
      </c>
      <c r="C22" s="9" t="s">
        <v>32</v>
      </c>
      <c r="D22" s="10">
        <v>0</v>
      </c>
      <c r="E22" s="10">
        <v>0</v>
      </c>
      <c r="F22" s="10">
        <v>1</v>
      </c>
      <c r="G22" s="10">
        <v>160</v>
      </c>
      <c r="H22" s="10">
        <v>1</v>
      </c>
      <c r="I22" s="10">
        <v>30</v>
      </c>
      <c r="J22" s="9"/>
      <c r="K22" s="10">
        <v>0</v>
      </c>
      <c r="L22" s="10">
        <f t="shared" si="1"/>
        <v>190</v>
      </c>
      <c r="M22" s="9" t="s">
        <v>21</v>
      </c>
    </row>
    <row r="23" spans="1:13" ht="20.100000000000001" customHeight="1" x14ac:dyDescent="0.25">
      <c r="A23" s="8">
        <v>46195</v>
      </c>
      <c r="B23" s="8">
        <v>46188</v>
      </c>
      <c r="C23" s="9" t="s">
        <v>32</v>
      </c>
      <c r="D23" s="10">
        <v>0</v>
      </c>
      <c r="E23" s="10">
        <v>0</v>
      </c>
      <c r="F23" s="10">
        <v>1</v>
      </c>
      <c r="G23" s="10">
        <v>160</v>
      </c>
      <c r="H23" s="10">
        <v>1</v>
      </c>
      <c r="I23" s="10">
        <v>30</v>
      </c>
      <c r="J23" s="9" t="s">
        <v>15</v>
      </c>
      <c r="K23" s="10">
        <v>35</v>
      </c>
      <c r="L23" s="10">
        <f t="shared" si="1"/>
        <v>225</v>
      </c>
      <c r="M23" s="9" t="s">
        <v>21</v>
      </c>
    </row>
    <row r="24" spans="1:13" ht="20.100000000000001" customHeight="1" x14ac:dyDescent="0.25">
      <c r="A24" s="8">
        <v>46195</v>
      </c>
      <c r="B24" s="8">
        <v>46189</v>
      </c>
      <c r="C24" s="9" t="s">
        <v>32</v>
      </c>
      <c r="D24" s="10">
        <v>0</v>
      </c>
      <c r="E24" s="10">
        <v>0</v>
      </c>
      <c r="F24" s="10">
        <v>1</v>
      </c>
      <c r="G24" s="10">
        <v>160</v>
      </c>
      <c r="H24" s="10">
        <v>1</v>
      </c>
      <c r="I24" s="10">
        <v>30</v>
      </c>
      <c r="J24" s="9" t="s">
        <v>15</v>
      </c>
      <c r="K24" s="10">
        <v>35</v>
      </c>
      <c r="L24" s="10">
        <f t="shared" si="1"/>
        <v>225</v>
      </c>
      <c r="M24" s="9" t="s">
        <v>21</v>
      </c>
    </row>
    <row r="25" spans="1:13" ht="20.100000000000001" customHeight="1" x14ac:dyDescent="0.25">
      <c r="A25" s="8">
        <v>46195</v>
      </c>
      <c r="B25" s="8">
        <v>46190</v>
      </c>
      <c r="C25" s="9" t="s">
        <v>32</v>
      </c>
      <c r="D25" s="10">
        <v>0</v>
      </c>
      <c r="E25" s="10">
        <v>0</v>
      </c>
      <c r="F25" s="10">
        <v>1</v>
      </c>
      <c r="G25" s="10">
        <v>160</v>
      </c>
      <c r="H25" s="10">
        <v>1</v>
      </c>
      <c r="I25" s="10">
        <v>30</v>
      </c>
      <c r="J25" s="9" t="s">
        <v>33</v>
      </c>
      <c r="K25" s="10">
        <v>65</v>
      </c>
      <c r="L25" s="10">
        <f t="shared" si="1"/>
        <v>255</v>
      </c>
      <c r="M25" s="9" t="s">
        <v>21</v>
      </c>
    </row>
    <row r="26" spans="1:13" ht="20.100000000000001" customHeight="1" x14ac:dyDescent="0.25">
      <c r="A26" s="8">
        <v>46195</v>
      </c>
      <c r="B26" s="8">
        <v>46191</v>
      </c>
      <c r="C26" s="9" t="s">
        <v>32</v>
      </c>
      <c r="D26" s="10">
        <v>0</v>
      </c>
      <c r="E26" s="10">
        <v>0</v>
      </c>
      <c r="F26" s="10">
        <v>1</v>
      </c>
      <c r="G26" s="10">
        <v>160</v>
      </c>
      <c r="H26" s="10">
        <v>1</v>
      </c>
      <c r="I26" s="10">
        <v>30</v>
      </c>
      <c r="J26" s="9" t="s">
        <v>15</v>
      </c>
      <c r="K26" s="10">
        <v>35</v>
      </c>
      <c r="L26" s="10">
        <f t="shared" si="1"/>
        <v>225</v>
      </c>
      <c r="M26" s="9" t="s">
        <v>21</v>
      </c>
    </row>
    <row r="27" spans="1:13" ht="20.100000000000001" customHeight="1" x14ac:dyDescent="0.25">
      <c r="A27" s="8">
        <v>46195</v>
      </c>
      <c r="B27" s="8">
        <v>46192</v>
      </c>
      <c r="C27" s="9" t="s">
        <v>32</v>
      </c>
      <c r="D27" s="10">
        <v>50</v>
      </c>
      <c r="E27" s="10">
        <v>0</v>
      </c>
      <c r="F27" s="10">
        <v>0</v>
      </c>
      <c r="G27" s="10">
        <v>0</v>
      </c>
      <c r="H27" s="10">
        <v>1</v>
      </c>
      <c r="I27" s="10">
        <v>30</v>
      </c>
      <c r="J27" s="9"/>
      <c r="K27" s="10">
        <v>0</v>
      </c>
      <c r="L27" s="10">
        <f t="shared" si="1"/>
        <v>80</v>
      </c>
      <c r="M27" s="9" t="s">
        <v>21</v>
      </c>
    </row>
    <row r="28" spans="1:13" ht="20.100000000000001" customHeight="1" x14ac:dyDescent="0.25">
      <c r="A28" s="8">
        <v>46194</v>
      </c>
      <c r="B28" s="8">
        <v>46188</v>
      </c>
      <c r="C28" s="9" t="s">
        <v>19</v>
      </c>
      <c r="D28" s="10">
        <v>45</v>
      </c>
      <c r="E28" s="10">
        <v>0</v>
      </c>
      <c r="F28" s="10">
        <v>1</v>
      </c>
      <c r="G28" s="10">
        <v>160</v>
      </c>
      <c r="H28" s="10">
        <v>1</v>
      </c>
      <c r="I28" s="10">
        <v>30</v>
      </c>
      <c r="J28" s="9" t="s">
        <v>31</v>
      </c>
      <c r="K28" s="10">
        <v>35</v>
      </c>
      <c r="L28" s="10">
        <f t="shared" si="1"/>
        <v>270</v>
      </c>
      <c r="M28" s="9" t="s">
        <v>34</v>
      </c>
    </row>
    <row r="29" spans="1:13" ht="20.100000000000001" customHeight="1" x14ac:dyDescent="0.25">
      <c r="A29" s="8">
        <v>46194</v>
      </c>
      <c r="B29" s="8">
        <v>46189</v>
      </c>
      <c r="C29" s="9" t="s">
        <v>19</v>
      </c>
      <c r="D29" s="10">
        <v>0</v>
      </c>
      <c r="E29" s="10">
        <v>0</v>
      </c>
      <c r="F29" s="10">
        <v>1</v>
      </c>
      <c r="G29" s="10">
        <v>160</v>
      </c>
      <c r="H29" s="10">
        <v>1</v>
      </c>
      <c r="I29" s="10">
        <v>30</v>
      </c>
      <c r="J29" s="9" t="s">
        <v>31</v>
      </c>
      <c r="K29" s="10">
        <v>35</v>
      </c>
      <c r="L29" s="10">
        <f t="shared" si="1"/>
        <v>225</v>
      </c>
      <c r="M29" s="9" t="s">
        <v>34</v>
      </c>
    </row>
    <row r="30" spans="1:13" ht="20.100000000000001" customHeight="1" x14ac:dyDescent="0.25">
      <c r="A30" s="8">
        <v>46194</v>
      </c>
      <c r="B30" s="8">
        <v>46190</v>
      </c>
      <c r="C30" s="9" t="s">
        <v>19</v>
      </c>
      <c r="D30" s="10">
        <v>0</v>
      </c>
      <c r="E30" s="10">
        <v>0</v>
      </c>
      <c r="F30" s="10">
        <v>1</v>
      </c>
      <c r="G30" s="10">
        <v>160</v>
      </c>
      <c r="H30" s="10">
        <v>1</v>
      </c>
      <c r="I30" s="10">
        <v>30</v>
      </c>
      <c r="J30" s="9" t="s">
        <v>31</v>
      </c>
      <c r="K30" s="10">
        <v>35</v>
      </c>
      <c r="L30" s="10">
        <f t="shared" si="1"/>
        <v>225</v>
      </c>
      <c r="M30" s="9" t="s">
        <v>34</v>
      </c>
    </row>
    <row r="31" spans="1:13" ht="20.100000000000001" customHeight="1" x14ac:dyDescent="0.25">
      <c r="A31" s="8">
        <v>46194</v>
      </c>
      <c r="B31" s="8">
        <v>46191</v>
      </c>
      <c r="C31" s="9" t="s">
        <v>19</v>
      </c>
      <c r="D31" s="10">
        <v>0</v>
      </c>
      <c r="E31" s="10">
        <v>10</v>
      </c>
      <c r="F31" s="10">
        <v>1</v>
      </c>
      <c r="G31" s="10">
        <v>160</v>
      </c>
      <c r="H31" s="10">
        <v>1</v>
      </c>
      <c r="I31" s="10">
        <v>30</v>
      </c>
      <c r="J31" s="9" t="s">
        <v>31</v>
      </c>
      <c r="K31" s="10">
        <v>35</v>
      </c>
      <c r="L31" s="10">
        <f t="shared" si="1"/>
        <v>235</v>
      </c>
      <c r="M31" s="9" t="s">
        <v>34</v>
      </c>
    </row>
    <row r="32" spans="1:13" ht="20.100000000000001" customHeight="1" x14ac:dyDescent="0.25">
      <c r="A32" s="8">
        <v>46194</v>
      </c>
      <c r="B32" s="8">
        <v>46192</v>
      </c>
      <c r="C32" s="9" t="s">
        <v>19</v>
      </c>
      <c r="D32" s="10">
        <v>45</v>
      </c>
      <c r="E32" s="10">
        <v>0</v>
      </c>
      <c r="F32" s="10">
        <v>0</v>
      </c>
      <c r="G32" s="10">
        <v>0</v>
      </c>
      <c r="H32" s="10">
        <v>1</v>
      </c>
      <c r="I32" s="10">
        <v>30</v>
      </c>
      <c r="J32" s="9"/>
      <c r="K32" s="10">
        <v>0</v>
      </c>
      <c r="L32" s="10">
        <f t="shared" si="1"/>
        <v>75</v>
      </c>
      <c r="M32" s="9" t="s">
        <v>34</v>
      </c>
    </row>
    <row r="33" spans="1:13" ht="20.100000000000001" customHeight="1" x14ac:dyDescent="0.25">
      <c r="A33" s="8">
        <v>46195</v>
      </c>
      <c r="B33" s="8">
        <v>46186</v>
      </c>
      <c r="C33" s="9" t="s">
        <v>37</v>
      </c>
      <c r="D33" s="10">
        <v>0</v>
      </c>
      <c r="E33" s="10">
        <v>0</v>
      </c>
      <c r="F33" s="10">
        <v>1</v>
      </c>
      <c r="G33" s="10">
        <v>160</v>
      </c>
      <c r="H33" s="10">
        <v>1</v>
      </c>
      <c r="I33" s="10">
        <v>30</v>
      </c>
      <c r="J33" s="9" t="s">
        <v>38</v>
      </c>
      <c r="K33" s="10">
        <v>30</v>
      </c>
      <c r="L33" s="10">
        <f t="shared" ref="L33:L39" si="2">D33+E33+G33+I33+K33</f>
        <v>220</v>
      </c>
      <c r="M33" s="9" t="s">
        <v>21</v>
      </c>
    </row>
    <row r="34" spans="1:13" ht="20.100000000000001" customHeight="1" x14ac:dyDescent="0.25">
      <c r="A34" s="8">
        <v>46195</v>
      </c>
      <c r="B34" s="8">
        <v>46187</v>
      </c>
      <c r="C34" s="9" t="s">
        <v>37</v>
      </c>
      <c r="D34" s="10">
        <v>0</v>
      </c>
      <c r="E34" s="10">
        <v>0</v>
      </c>
      <c r="F34" s="10">
        <v>1</v>
      </c>
      <c r="G34" s="10">
        <v>160</v>
      </c>
      <c r="H34" s="10">
        <v>1</v>
      </c>
      <c r="I34" s="10">
        <v>30</v>
      </c>
      <c r="J34" s="9"/>
      <c r="K34" s="10">
        <v>0</v>
      </c>
      <c r="L34" s="10">
        <f t="shared" si="2"/>
        <v>190</v>
      </c>
      <c r="M34" s="9" t="s">
        <v>21</v>
      </c>
    </row>
    <row r="35" spans="1:13" ht="20.100000000000001" customHeight="1" x14ac:dyDescent="0.25">
      <c r="A35" s="8">
        <v>46195</v>
      </c>
      <c r="B35" s="8">
        <v>46188</v>
      </c>
      <c r="C35" s="9" t="s">
        <v>37</v>
      </c>
      <c r="D35" s="10">
        <v>0</v>
      </c>
      <c r="E35" s="10">
        <v>42</v>
      </c>
      <c r="F35" s="10">
        <v>1</v>
      </c>
      <c r="G35" s="10">
        <v>160</v>
      </c>
      <c r="H35" s="10">
        <v>1</v>
      </c>
      <c r="I35" s="10">
        <v>30</v>
      </c>
      <c r="J35" s="9" t="s">
        <v>39</v>
      </c>
      <c r="K35" s="10">
        <v>35</v>
      </c>
      <c r="L35" s="10">
        <f t="shared" si="2"/>
        <v>267</v>
      </c>
      <c r="M35" s="9" t="s">
        <v>21</v>
      </c>
    </row>
    <row r="36" spans="1:13" ht="20.100000000000001" customHeight="1" x14ac:dyDescent="0.25">
      <c r="A36" s="8">
        <v>46195</v>
      </c>
      <c r="B36" s="8">
        <v>46189</v>
      </c>
      <c r="C36" s="9" t="s">
        <v>37</v>
      </c>
      <c r="D36" s="10">
        <v>0</v>
      </c>
      <c r="E36" s="10">
        <v>0</v>
      </c>
      <c r="F36" s="10">
        <v>1</v>
      </c>
      <c r="G36" s="10">
        <v>160</v>
      </c>
      <c r="H36" s="10">
        <v>1</v>
      </c>
      <c r="I36" s="10">
        <v>30</v>
      </c>
      <c r="J36" s="9" t="s">
        <v>39</v>
      </c>
      <c r="K36" s="10">
        <v>35</v>
      </c>
      <c r="L36" s="10">
        <f t="shared" si="2"/>
        <v>225</v>
      </c>
      <c r="M36" s="9" t="s">
        <v>21</v>
      </c>
    </row>
    <row r="37" spans="1:13" ht="20.100000000000001" customHeight="1" x14ac:dyDescent="0.25">
      <c r="A37" s="8">
        <v>46195</v>
      </c>
      <c r="B37" s="8">
        <v>46190</v>
      </c>
      <c r="C37" s="9" t="s">
        <v>37</v>
      </c>
      <c r="D37" s="10">
        <v>122</v>
      </c>
      <c r="E37" s="10">
        <v>43</v>
      </c>
      <c r="F37" s="10">
        <v>1</v>
      </c>
      <c r="G37" s="10">
        <v>160</v>
      </c>
      <c r="H37" s="10">
        <v>1</v>
      </c>
      <c r="I37" s="10">
        <v>30</v>
      </c>
      <c r="J37" s="9" t="s">
        <v>39</v>
      </c>
      <c r="K37" s="10">
        <v>35</v>
      </c>
      <c r="L37" s="10">
        <f t="shared" si="2"/>
        <v>390</v>
      </c>
      <c r="M37" s="9" t="s">
        <v>21</v>
      </c>
    </row>
    <row r="38" spans="1:13" ht="20.100000000000001" customHeight="1" x14ac:dyDescent="0.25">
      <c r="A38" s="8">
        <v>46195</v>
      </c>
      <c r="B38" s="8">
        <v>46191</v>
      </c>
      <c r="C38" s="9" t="s">
        <v>37</v>
      </c>
      <c r="D38" s="10">
        <v>0</v>
      </c>
      <c r="E38" s="10">
        <v>0</v>
      </c>
      <c r="F38" s="10">
        <v>1</v>
      </c>
      <c r="G38" s="10">
        <v>160</v>
      </c>
      <c r="H38" s="10">
        <v>1</v>
      </c>
      <c r="I38" s="10">
        <v>30</v>
      </c>
      <c r="J38" s="9" t="s">
        <v>39</v>
      </c>
      <c r="K38" s="10">
        <v>35</v>
      </c>
      <c r="L38" s="10">
        <f t="shared" si="2"/>
        <v>225</v>
      </c>
      <c r="M38" s="9" t="s">
        <v>21</v>
      </c>
    </row>
    <row r="39" spans="1:13" ht="20.100000000000001" customHeight="1" x14ac:dyDescent="0.25">
      <c r="A39" s="8">
        <v>46195</v>
      </c>
      <c r="B39" s="8">
        <v>46192</v>
      </c>
      <c r="C39" s="9" t="s">
        <v>37</v>
      </c>
      <c r="D39" s="10">
        <v>120</v>
      </c>
      <c r="E39" s="10">
        <v>0</v>
      </c>
      <c r="F39" s="10">
        <v>0</v>
      </c>
      <c r="G39" s="10">
        <v>0</v>
      </c>
      <c r="H39" s="10">
        <v>1</v>
      </c>
      <c r="I39" s="10">
        <v>30</v>
      </c>
      <c r="J39" s="9"/>
      <c r="K39" s="10">
        <v>0</v>
      </c>
      <c r="L39" s="10">
        <f t="shared" si="2"/>
        <v>150</v>
      </c>
      <c r="M39" s="9" t="s">
        <v>21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FC86-17F6-49C4-9C7A-A919C2D0D605}">
  <dimension ref="A1:M1"/>
  <sheetViews>
    <sheetView zoomScale="90" zoomScaleNormal="90" workbookViewId="0">
      <pane ySplit="1" topLeftCell="A2" activePane="bottomLeft" state="frozen"/>
      <selection pane="bottomLeft" activeCell="A3" sqref="A3"/>
    </sheetView>
  </sheetViews>
  <sheetFormatPr defaultRowHeight="20.100000000000001" customHeight="1" x14ac:dyDescent="0.25"/>
  <cols>
    <col min="1" max="2" width="10" style="1" bestFit="1" customWidth="1"/>
    <col min="3" max="3" width="5" style="1" bestFit="1" customWidth="1"/>
    <col min="4" max="4" width="20.125" style="1" bestFit="1" customWidth="1"/>
    <col min="5" max="5" width="28.875" style="1" bestFit="1" customWidth="1"/>
    <col min="6" max="6" width="10" style="1" bestFit="1" customWidth="1"/>
    <col min="7" max="7" width="8" style="1" bestFit="1" customWidth="1"/>
    <col min="8" max="8" width="10" style="1" bestFit="1" customWidth="1"/>
    <col min="9" max="9" width="8" style="1" bestFit="1" customWidth="1"/>
    <col min="10" max="11" width="14.625" style="1" bestFit="1" customWidth="1"/>
    <col min="12" max="12" width="5.875" style="1" bestFit="1" customWidth="1"/>
    <col min="13" max="13" width="10" style="1" bestFit="1" customWidth="1"/>
    <col min="14" max="16384" width="9" style="1"/>
  </cols>
  <sheetData>
    <row r="1" spans="1:13" s="5" customFormat="1" ht="30" customHeight="1" x14ac:dyDescent="0.25">
      <c r="A1" s="2" t="s">
        <v>0</v>
      </c>
      <c r="B1" s="2" t="s">
        <v>1</v>
      </c>
      <c r="C1" s="2" t="s">
        <v>2</v>
      </c>
      <c r="D1" s="4" t="s">
        <v>4</v>
      </c>
      <c r="E1" s="6" t="s">
        <v>12</v>
      </c>
      <c r="F1" s="3" t="s">
        <v>5</v>
      </c>
      <c r="G1" s="4" t="s">
        <v>6</v>
      </c>
      <c r="H1" s="3" t="s">
        <v>8</v>
      </c>
      <c r="I1" s="4" t="s">
        <v>7</v>
      </c>
      <c r="J1" s="3" t="s">
        <v>9</v>
      </c>
      <c r="K1" s="4" t="s">
        <v>10</v>
      </c>
      <c r="L1" s="4" t="s">
        <v>11</v>
      </c>
      <c r="M1" s="3" t="s">
        <v>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6AB6-3784-4A1B-BD46-5D4E1DDB3F4B}">
  <dimension ref="A1:M1"/>
  <sheetViews>
    <sheetView zoomScale="90" zoomScaleNormal="90" workbookViewId="0">
      <pane ySplit="1" topLeftCell="A2" activePane="bottomLeft" state="frozen"/>
      <selection pane="bottomLeft" activeCell="A3" sqref="A3"/>
    </sheetView>
  </sheetViews>
  <sheetFormatPr defaultRowHeight="20.100000000000001" customHeight="1" x14ac:dyDescent="0.25"/>
  <cols>
    <col min="1" max="2" width="10" style="1" bestFit="1" customWidth="1"/>
    <col min="3" max="3" width="5" style="1" bestFit="1" customWidth="1"/>
    <col min="4" max="4" width="20.125" style="1" bestFit="1" customWidth="1"/>
    <col min="5" max="5" width="28.875" style="1" bestFit="1" customWidth="1"/>
    <col min="6" max="6" width="10" style="1" bestFit="1" customWidth="1"/>
    <col min="7" max="7" width="8" style="1" bestFit="1" customWidth="1"/>
    <col min="8" max="8" width="10" style="1" bestFit="1" customWidth="1"/>
    <col min="9" max="9" width="8" style="1" bestFit="1" customWidth="1"/>
    <col min="10" max="11" width="14.625" style="1" bestFit="1" customWidth="1"/>
    <col min="12" max="12" width="5.875" style="1" bestFit="1" customWidth="1"/>
    <col min="13" max="13" width="10" style="1" bestFit="1" customWidth="1"/>
    <col min="14" max="16384" width="9" style="1"/>
  </cols>
  <sheetData>
    <row r="1" spans="1:13" s="5" customFormat="1" ht="30" customHeight="1" x14ac:dyDescent="0.25">
      <c r="A1" s="2" t="s">
        <v>0</v>
      </c>
      <c r="B1" s="2" t="s">
        <v>1</v>
      </c>
      <c r="C1" s="2" t="s">
        <v>2</v>
      </c>
      <c r="D1" s="4" t="s">
        <v>4</v>
      </c>
      <c r="E1" s="6" t="s">
        <v>12</v>
      </c>
      <c r="F1" s="3" t="s">
        <v>5</v>
      </c>
      <c r="G1" s="4" t="s">
        <v>6</v>
      </c>
      <c r="H1" s="3" t="s">
        <v>8</v>
      </c>
      <c r="I1" s="4" t="s">
        <v>7</v>
      </c>
      <c r="J1" s="3" t="s">
        <v>9</v>
      </c>
      <c r="K1" s="4" t="s">
        <v>10</v>
      </c>
      <c r="L1" s="4" t="s">
        <v>11</v>
      </c>
      <c r="M1" s="3" t="s">
        <v>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4658-F049-4630-8B4B-AC96357FBAED}">
  <dimension ref="A1:M1"/>
  <sheetViews>
    <sheetView zoomScale="90" zoomScaleNormal="90" workbookViewId="0">
      <pane ySplit="1" topLeftCell="A2" activePane="bottomLeft" state="frozen"/>
      <selection pane="bottomLeft" activeCell="A3" sqref="A3"/>
    </sheetView>
  </sheetViews>
  <sheetFormatPr defaultRowHeight="20.100000000000001" customHeight="1" x14ac:dyDescent="0.25"/>
  <cols>
    <col min="1" max="2" width="10" style="1" bestFit="1" customWidth="1"/>
    <col min="3" max="3" width="5" style="1" bestFit="1" customWidth="1"/>
    <col min="4" max="4" width="20.125" style="1" bestFit="1" customWidth="1"/>
    <col min="5" max="5" width="28.875" style="1" bestFit="1" customWidth="1"/>
    <col min="6" max="6" width="10" style="1" bestFit="1" customWidth="1"/>
    <col min="7" max="7" width="8" style="1" bestFit="1" customWidth="1"/>
    <col min="8" max="8" width="10" style="1" bestFit="1" customWidth="1"/>
    <col min="9" max="9" width="8" style="1" bestFit="1" customWidth="1"/>
    <col min="10" max="11" width="14.625" style="1" bestFit="1" customWidth="1"/>
    <col min="12" max="12" width="5.875" style="1" bestFit="1" customWidth="1"/>
    <col min="13" max="13" width="10" style="1" bestFit="1" customWidth="1"/>
    <col min="14" max="16384" width="9" style="1"/>
  </cols>
  <sheetData>
    <row r="1" spans="1:13" s="5" customFormat="1" ht="30" customHeight="1" x14ac:dyDescent="0.25">
      <c r="A1" s="2" t="s">
        <v>0</v>
      </c>
      <c r="B1" s="2" t="s">
        <v>1</v>
      </c>
      <c r="C1" s="2" t="s">
        <v>2</v>
      </c>
      <c r="D1" s="4" t="s">
        <v>4</v>
      </c>
      <c r="E1" s="6" t="s">
        <v>12</v>
      </c>
      <c r="F1" s="3" t="s">
        <v>5</v>
      </c>
      <c r="G1" s="4" t="s">
        <v>6</v>
      </c>
      <c r="H1" s="3" t="s">
        <v>8</v>
      </c>
      <c r="I1" s="4" t="s">
        <v>7</v>
      </c>
      <c r="J1" s="3" t="s">
        <v>9</v>
      </c>
      <c r="K1" s="4" t="s">
        <v>10</v>
      </c>
      <c r="L1" s="4" t="s">
        <v>11</v>
      </c>
      <c r="M1" s="3" t="s">
        <v>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FF65-2CED-4CB1-BBD8-F5BD27B60A26}">
  <dimension ref="A1:M1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20.100000000000001" customHeight="1" x14ac:dyDescent="0.25"/>
  <cols>
    <col min="1" max="2" width="10" style="1" bestFit="1" customWidth="1"/>
    <col min="3" max="3" width="5" style="1" bestFit="1" customWidth="1"/>
    <col min="4" max="4" width="20.125" style="1" bestFit="1" customWidth="1"/>
    <col min="5" max="5" width="28.875" style="1" bestFit="1" customWidth="1"/>
    <col min="6" max="6" width="10" style="1" bestFit="1" customWidth="1"/>
    <col min="7" max="7" width="8" style="1" bestFit="1" customWidth="1"/>
    <col min="8" max="8" width="10" style="1" bestFit="1" customWidth="1"/>
    <col min="9" max="9" width="8" style="1" bestFit="1" customWidth="1"/>
    <col min="10" max="11" width="14.625" style="1" bestFit="1" customWidth="1"/>
    <col min="12" max="12" width="5.875" style="1" bestFit="1" customWidth="1"/>
    <col min="13" max="13" width="10" style="1" bestFit="1" customWidth="1"/>
    <col min="14" max="16384" width="9" style="1"/>
  </cols>
  <sheetData>
    <row r="1" spans="1:13" s="5" customFormat="1" ht="30" customHeight="1" x14ac:dyDescent="0.25">
      <c r="A1" s="2" t="s">
        <v>0</v>
      </c>
      <c r="B1" s="2" t="s">
        <v>1</v>
      </c>
      <c r="C1" s="2" t="s">
        <v>2</v>
      </c>
      <c r="D1" s="4" t="s">
        <v>4</v>
      </c>
      <c r="E1" s="6" t="s">
        <v>12</v>
      </c>
      <c r="F1" s="3" t="s">
        <v>5</v>
      </c>
      <c r="G1" s="4" t="s">
        <v>6</v>
      </c>
      <c r="H1" s="3" t="s">
        <v>8</v>
      </c>
      <c r="I1" s="4" t="s">
        <v>7</v>
      </c>
      <c r="J1" s="3" t="s">
        <v>9</v>
      </c>
      <c r="K1" s="4" t="s">
        <v>10</v>
      </c>
      <c r="L1" s="4" t="s">
        <v>11</v>
      </c>
      <c r="M1" s="3" t="s">
        <v>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2DB6-3AD0-4DA2-9481-E1BD80D875EF}">
  <dimension ref="A1:M1"/>
  <sheetViews>
    <sheetView zoomScale="90" zoomScaleNormal="90" workbookViewId="0">
      <pane ySplit="1" topLeftCell="A2" activePane="bottomLeft" state="frozen"/>
      <selection pane="bottomLeft" activeCell="A4" sqref="A4"/>
    </sheetView>
  </sheetViews>
  <sheetFormatPr defaultRowHeight="20.100000000000001" customHeight="1" x14ac:dyDescent="0.25"/>
  <cols>
    <col min="1" max="2" width="10" style="1" bestFit="1" customWidth="1"/>
    <col min="3" max="3" width="5" style="1" bestFit="1" customWidth="1"/>
    <col min="4" max="4" width="20.125" style="1" bestFit="1" customWidth="1"/>
    <col min="5" max="5" width="28.875" style="1" bestFit="1" customWidth="1"/>
    <col min="6" max="6" width="10" style="1" bestFit="1" customWidth="1"/>
    <col min="7" max="7" width="8" style="1" bestFit="1" customWidth="1"/>
    <col min="8" max="8" width="10" style="1" bestFit="1" customWidth="1"/>
    <col min="9" max="9" width="8" style="1" bestFit="1" customWidth="1"/>
    <col min="10" max="11" width="14.625" style="1" bestFit="1" customWidth="1"/>
    <col min="12" max="12" width="5.875" style="1" bestFit="1" customWidth="1"/>
    <col min="13" max="13" width="10" style="1" bestFit="1" customWidth="1"/>
    <col min="14" max="16384" width="9" style="1"/>
  </cols>
  <sheetData>
    <row r="1" spans="1:13" s="5" customFormat="1" ht="30" customHeight="1" x14ac:dyDescent="0.25">
      <c r="A1" s="2" t="s">
        <v>0</v>
      </c>
      <c r="B1" s="2" t="s">
        <v>1</v>
      </c>
      <c r="C1" s="2" t="s">
        <v>2</v>
      </c>
      <c r="D1" s="4" t="s">
        <v>4</v>
      </c>
      <c r="E1" s="6" t="s">
        <v>12</v>
      </c>
      <c r="F1" s="3" t="s">
        <v>5</v>
      </c>
      <c r="G1" s="4" t="s">
        <v>6</v>
      </c>
      <c r="H1" s="3" t="s">
        <v>8</v>
      </c>
      <c r="I1" s="4" t="s">
        <v>7</v>
      </c>
      <c r="J1" s="3" t="s">
        <v>9</v>
      </c>
      <c r="K1" s="4" t="s">
        <v>10</v>
      </c>
      <c r="L1" s="4" t="s">
        <v>11</v>
      </c>
      <c r="M1" s="3" t="s">
        <v>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F58C-6E4C-48D5-B955-927723D6E465}">
  <dimension ref="A1:M1"/>
  <sheetViews>
    <sheetView zoomScale="90" zoomScaleNormal="90" workbookViewId="0">
      <pane ySplit="1" topLeftCell="A2" activePane="bottomLeft" state="frozen"/>
      <selection pane="bottomLeft" activeCell="A3" sqref="A3"/>
    </sheetView>
  </sheetViews>
  <sheetFormatPr defaultRowHeight="20.100000000000001" customHeight="1" x14ac:dyDescent="0.25"/>
  <cols>
    <col min="1" max="2" width="10" style="1" bestFit="1" customWidth="1"/>
    <col min="3" max="3" width="5" style="1" bestFit="1" customWidth="1"/>
    <col min="4" max="4" width="20.125" style="1" bestFit="1" customWidth="1"/>
    <col min="5" max="5" width="28.875" style="1" bestFit="1" customWidth="1"/>
    <col min="6" max="6" width="10" style="1" bestFit="1" customWidth="1"/>
    <col min="7" max="7" width="8" style="1" bestFit="1" customWidth="1"/>
    <col min="8" max="8" width="10" style="1" bestFit="1" customWidth="1"/>
    <col min="9" max="9" width="8" style="1" bestFit="1" customWidth="1"/>
    <col min="10" max="11" width="14.625" style="1" bestFit="1" customWidth="1"/>
    <col min="12" max="12" width="5.875" style="1" bestFit="1" customWidth="1"/>
    <col min="13" max="13" width="10" style="1" bestFit="1" customWidth="1"/>
    <col min="14" max="16384" width="9" style="1"/>
  </cols>
  <sheetData>
    <row r="1" spans="1:13" s="5" customFormat="1" ht="30" customHeight="1" x14ac:dyDescent="0.25">
      <c r="A1" s="2" t="s">
        <v>0</v>
      </c>
      <c r="B1" s="2" t="s">
        <v>1</v>
      </c>
      <c r="C1" s="2" t="s">
        <v>2</v>
      </c>
      <c r="D1" s="4" t="s">
        <v>4</v>
      </c>
      <c r="E1" s="6" t="s">
        <v>12</v>
      </c>
      <c r="F1" s="3" t="s">
        <v>5</v>
      </c>
      <c r="G1" s="4" t="s">
        <v>6</v>
      </c>
      <c r="H1" s="3" t="s">
        <v>8</v>
      </c>
      <c r="I1" s="4" t="s">
        <v>7</v>
      </c>
      <c r="J1" s="3" t="s">
        <v>9</v>
      </c>
      <c r="K1" s="4" t="s">
        <v>10</v>
      </c>
      <c r="L1" s="4" t="s">
        <v>11</v>
      </c>
      <c r="M1" s="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1月明細</vt:lpstr>
      <vt:lpstr>2月明細</vt:lpstr>
      <vt:lpstr>3月明細</vt:lpstr>
      <vt:lpstr>4月明細</vt:lpstr>
      <vt:lpstr>5月明細</vt:lpstr>
      <vt:lpstr>6月明細</vt:lpstr>
      <vt:lpstr>7月明細</vt:lpstr>
      <vt:lpstr>8月明細</vt:lpstr>
      <vt:lpstr>9月明細</vt:lpstr>
      <vt:lpstr>10月明細</vt:lpstr>
      <vt:lpstr>11月明細</vt:lpstr>
      <vt:lpstr>12月明細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2026-05-15T09:59:14Z</dcterms:created>
  <dcterms:modified xsi:type="dcterms:W3CDTF">2026-06-22T06:47:34Z</dcterms:modified>
</cp:coreProperties>
</file>